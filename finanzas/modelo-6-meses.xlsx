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Unit Economics" sheetId="2" state="visible" r:id="rId4"/>
    <sheet name="Proyección 6M" sheetId="3" state="visible" r:id="rId5"/>
    <sheet name="Equilibrio y Sensib.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1" authorId="0">
      <text>
        <r>
          <rPr>
            <sz val="10"/>
            <rFont val="Arial"/>
            <family val="2"/>
          </rPr>
          <t xml:space="preserve">Valor sin validar. Reemplazar con cotización real.</t>
        </r>
      </text>
    </comment>
    <comment ref="C13" authorId="0">
      <text>
        <r>
          <rPr>
            <sz val="10"/>
            <rFont val="Arial"/>
            <family val="2"/>
          </rPr>
          <t xml:space="preserve">Valor sin validar. Reemplazar con cotización real.</t>
        </r>
      </text>
    </comment>
    <comment ref="C21" authorId="0">
      <text>
        <r>
          <rPr>
            <sz val="10"/>
            <rFont val="Arial"/>
            <family val="2"/>
          </rPr>
          <t xml:space="preserve">Valor sin validar. Reemplazar con cotización real.</t>
        </r>
      </text>
    </comment>
    <comment ref="C22" authorId="0">
      <text>
        <r>
          <rPr>
            <sz val="10"/>
            <rFont val="Arial"/>
            <family val="2"/>
          </rPr>
          <t xml:space="preserve">Valor sin validar. Reemplazar con cotización real.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LA hipótesis más importante: cuántas unidades vendés. Acá vive el riesgo real.</t>
        </r>
      </text>
    </comment>
  </commentList>
</comments>
</file>

<file path=xl/sharedStrings.xml><?xml version="1.0" encoding="utf-8"?>
<sst xmlns="http://schemas.openxmlformats.org/spreadsheetml/2006/main" count="122" uniqueCount="99">
  <si>
    <t xml:space="preserve">Proyecto Café · Supuestos del modelo</t>
  </si>
  <si>
    <t xml:space="preserve">Verde importado (comprado a importador local, en pesos) + tueste tercerizado · 6 meses · a precios de jun-2026</t>
  </si>
  <si>
    <t xml:space="preserve">⚠ Modelo ILUSTRATIVO. Las celdas en amarillo NO están validadas (averiguaciones #1, #2 y #3). Sirve para ver la ESTRUCTURA y el punto de equilibrio, no como pronóstico de ganancias. Cambiá los valores azules y todo recalcula.</t>
  </si>
  <si>
    <t xml:space="preserve">PARÁMETRO</t>
  </si>
  <si>
    <t xml:space="preserve">VALOR</t>
  </si>
  <si>
    <t xml:space="preserve">UNIDAD</t>
  </si>
  <si>
    <t xml:space="preserve">NOTA / FUENTE</t>
  </si>
  <si>
    <t xml:space="preserve">Tipo de cambio (ARS/USD)</t>
  </si>
  <si>
    <t xml:space="preserve">ARS/USD</t>
  </si>
  <si>
    <t xml:space="preserve">MEP/blue al 1/6/2026 (~$1.430)</t>
  </si>
  <si>
    <t xml:space="preserve">Café verde importado (local)</t>
  </si>
  <si>
    <t xml:space="preserve">USD/kg</t>
  </si>
  <si>
    <t xml:space="preserve">SUPUESTO — averiguación #2</t>
  </si>
  <si>
    <t xml:space="preserve">Merma de tueste</t>
  </si>
  <si>
    <t xml:space="preserve">%</t>
  </si>
  <si>
    <t xml:space="preserve">Verde→tostado pierde ~15-18% del peso</t>
  </si>
  <si>
    <t xml:space="preserve">Maquila (tueste tercerizado)</t>
  </si>
  <si>
    <t xml:space="preserve">ARS/kg tostado</t>
  </si>
  <si>
    <t xml:space="preserve">SUPUESTO — averiguación #1</t>
  </si>
  <si>
    <t xml:space="preserve">Packaging doypack 250g c/válvula</t>
  </si>
  <si>
    <t xml:space="preserve">ARS/unidad</t>
  </si>
  <si>
    <t xml:space="preserve">Estimado</t>
  </si>
  <si>
    <t xml:space="preserve">Etiqueta 250g</t>
  </si>
  <si>
    <t xml:space="preserve">Packaging bulk 1kg (B2B)</t>
  </si>
  <si>
    <t xml:space="preserve">Logística B2C absorbida</t>
  </si>
  <si>
    <t xml:space="preserve">ARS/u 250g</t>
  </si>
  <si>
    <t xml:space="preserve">Parte del envío que paga la marca</t>
  </si>
  <si>
    <t xml:space="preserve">Logística B2B</t>
  </si>
  <si>
    <t xml:space="preserve">ARS/kg</t>
  </si>
  <si>
    <t xml:space="preserve">Entrega a cafeterías</t>
  </si>
  <si>
    <t xml:space="preserve">Comisión medios de pago (B2C)</t>
  </si>
  <si>
    <t xml:space="preserve">MercadoPago/Tiendanube ~6,5%</t>
  </si>
  <si>
    <t xml:space="preserve">Comisión B2B</t>
  </si>
  <si>
    <t xml:space="preserve">Transferencia</t>
  </si>
  <si>
    <t xml:space="preserve">PVP online 250g</t>
  </si>
  <si>
    <t xml:space="preserve">Góndola specialty 250g: $19.100–$23.400 (jun-2026)</t>
  </si>
  <si>
    <t xml:space="preserve">Precio mayorista cafetería</t>
  </si>
  <si>
    <t xml:space="preserve">SUPUESTO — kg góndola ~$77k con dto. B2B</t>
  </si>
  <si>
    <t xml:space="preserve">Monotributo</t>
  </si>
  <si>
    <t xml:space="preserve">ARS/mes</t>
  </si>
  <si>
    <t xml:space="preserve">SUPUESTO — verificar categoría real</t>
  </si>
  <si>
    <t xml:space="preserve">Tienda online (plataforma)</t>
  </si>
  <si>
    <t xml:space="preserve">Tiendanube/Empretienda</t>
  </si>
  <si>
    <t xml:space="preserve">Marketing / IG</t>
  </si>
  <si>
    <t xml:space="preserve">Marca + diseño + INPI (inicial)</t>
  </si>
  <si>
    <t xml:space="preserve">ARS una vez</t>
  </si>
  <si>
    <t xml:space="preserve">Mes 1</t>
  </si>
  <si>
    <t xml:space="preserve">Economía unitaria</t>
  </si>
  <si>
    <t xml:space="preserve">Costo y margen de una bolsa de 250 g (online) y de un kilo mayorista (cafeterías)</t>
  </si>
  <si>
    <t xml:space="preserve">BOLSA 250 g  ·  Venta online (B2C)</t>
  </si>
  <si>
    <t xml:space="preserve">Ingreso (PVP)</t>
  </si>
  <si>
    <t xml:space="preserve">Café verde necesario (kg)</t>
  </si>
  <si>
    <t xml:space="preserve">Costo café verde</t>
  </si>
  <si>
    <t xml:space="preserve">Maquila (tueste)</t>
  </si>
  <si>
    <t xml:space="preserve">Packaging + etiqueta</t>
  </si>
  <si>
    <t xml:space="preserve">Logística</t>
  </si>
  <si>
    <t xml:space="preserve">Comisión medios de pago</t>
  </si>
  <si>
    <t xml:space="preserve">COGS total</t>
  </si>
  <si>
    <t xml:space="preserve">Margen bruto $</t>
  </si>
  <si>
    <t xml:space="preserve">Margen bruto %</t>
  </si>
  <si>
    <t xml:space="preserve">KILO mayorista  ·  Cafeterías (B2B)</t>
  </si>
  <si>
    <t xml:space="preserve">Ingreso (precio/kg)</t>
  </si>
  <si>
    <t xml:space="preserve">Packaging bulk</t>
  </si>
  <si>
    <t xml:space="preserve">Comisión</t>
  </si>
  <si>
    <t xml:space="preserve">Proyección a 6 meses</t>
  </si>
  <si>
    <t xml:space="preserve">Ramp-up de ventas a precios de hoy. Resultado ANTES de pagarse sueldo los socios y de impuestos más allá del monotributo.</t>
  </si>
  <si>
    <t xml:space="preserve">CONCEPTO</t>
  </si>
  <si>
    <t xml:space="preserve">Mes 2</t>
  </si>
  <si>
    <t xml:space="preserve">Mes 3</t>
  </si>
  <si>
    <t xml:space="preserve">Mes 4</t>
  </si>
  <si>
    <t xml:space="preserve">Mes 5</t>
  </si>
  <si>
    <t xml:space="preserve">Mes 6</t>
  </si>
  <si>
    <t xml:space="preserve">TOTAL</t>
  </si>
  <si>
    <t xml:space="preserve">Bolsas 250g vendidas</t>
  </si>
  <si>
    <t xml:space="preserve">Kg mayorista vendidos</t>
  </si>
  <si>
    <t xml:space="preserve">INGRESOS</t>
  </si>
  <si>
    <t xml:space="preserve">Ingresos B2C (online)</t>
  </si>
  <si>
    <t xml:space="preserve">Ingresos B2B (cafeterías)</t>
  </si>
  <si>
    <t xml:space="preserve">Ingresos totales</t>
  </si>
  <si>
    <t xml:space="preserve">COSTOS VARIABLES (COGS)</t>
  </si>
  <si>
    <t xml:space="preserve">COGS B2C</t>
  </si>
  <si>
    <t xml:space="preserve">COGS B2B</t>
  </si>
  <si>
    <t xml:space="preserve">Margen bruto</t>
  </si>
  <si>
    <t xml:space="preserve">COSTOS FIJOS</t>
  </si>
  <si>
    <t xml:space="preserve">Tienda online</t>
  </si>
  <si>
    <t xml:space="preserve">Setup inicial (marca/INPI)</t>
  </si>
  <si>
    <t xml:space="preserve">Total costos fijos</t>
  </si>
  <si>
    <t xml:space="preserve">RESULTADO OPERATIVO</t>
  </si>
  <si>
    <t xml:space="preserve">Resultado acumulado</t>
  </si>
  <si>
    <t xml:space="preserve">Nota: el COGS se imputa en el mes de venta (simplificación). En caja real, la compra de verde + maquila se desembolsa ANTES de cobrar: prevé capital de trabajo para financiar el primer lote.</t>
  </si>
  <si>
    <t xml:space="preserve">Punto de equilibrio y sensibilidad</t>
  </si>
  <si>
    <t xml:space="preserve">Punto de equilibrio mensual (solo canal B2C)</t>
  </si>
  <si>
    <t xml:space="preserve">Costos fijos mensuales (sin setup)</t>
  </si>
  <si>
    <t xml:space="preserve">El equilibrio es bajísimo: este NO es un negocio de costos fijos. El costo está en lo variable (café) y el verdadero problema es el VOLUMEN de venta, no llegar a cubrir fijos. La pregunta que el modelo no responde: ¿vendés las bolsas?</t>
  </si>
  <si>
    <t xml:space="preserve">Margen bruto por bolsa 250g</t>
  </si>
  <si>
    <t xml:space="preserve">Bolsas/mes para cubrir fijos</t>
  </si>
  <si>
    <t xml:space="preserve">Margen bruto % de la bolsa 250g según costo del verde (filas) y PVP (columnas)</t>
  </si>
  <si>
    <t xml:space="preserve">verde \ PVP</t>
  </si>
  <si>
    <t xml:space="preserve">Verde y PVP de hoy resaltados arriba. Si el verde te sale $14/kg en vez de $9, el margen se come ~12 puntos.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</si>
</sst>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\$#,##0.00"/>
    <numFmt numFmtId="167" formatCode="0.0%"/>
    <numFmt numFmtId="168" formatCode="\$#,##0;&quot;($&quot;#,##0\);\-"/>
    <numFmt numFmtId="169" formatCode="0.000"/>
    <numFmt numFmtId="170" formatCode="#,##0"/>
    <numFmt numFmtId="171" formatCode="#,##0.0"/>
    <numFmt numFmtId="172" formatCode="\$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5A2E12"/>
      <name val="Arial"/>
      <family val="0"/>
      <charset val="1"/>
    </font>
    <font>
      <i val="true"/>
      <sz val="10"/>
      <color rgb="FF8C7660"/>
      <name val="Arial"/>
      <family val="0"/>
      <charset val="1"/>
    </font>
    <font>
      <b val="true"/>
      <sz val="11"/>
      <color rgb="FF9A3A1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BE3D6"/>
        <bgColor rgb="FFEFE4D3"/>
      </patternFill>
    </fill>
    <fill>
      <patternFill patternType="solid">
        <fgColor rgb="FF5A2E12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FE4D3"/>
        <bgColor rgb="FFFBE3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C9B4"/>
      </left>
      <right style="thin">
        <color rgb="FFD8C9B4"/>
      </right>
      <top style="thin">
        <color rgb="FFD8C9B4"/>
      </top>
      <bottom style="thin">
        <color rgb="FFD8C9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C9B4"/>
      <rgbColor rgb="FF8C7660"/>
      <rgbColor rgb="FF9999FF"/>
      <rgbColor rgb="FF993366"/>
      <rgbColor rgb="FFFBE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FE4D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5A2E12"/>
      <rgbColor rgb="FF9A3A1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46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true" outlineLevel="0" collapsed="false">
      <c r="B5" s="3" t="s">
        <v>2</v>
      </c>
      <c r="C5" s="3"/>
      <c r="D5" s="3"/>
      <c r="E5" s="3"/>
    </row>
    <row r="6" customFormat="false" ht="15" hidden="false" customHeight="false" outlineLevel="0" collapsed="false">
      <c r="B6" s="3"/>
      <c r="C6" s="3"/>
      <c r="D6" s="3"/>
      <c r="E6" s="3"/>
    </row>
    <row r="7" customFormat="false" ht="15" hidden="false" customHeight="false" outlineLevel="0" collapsed="false">
      <c r="B7" s="3"/>
      <c r="C7" s="3"/>
      <c r="D7" s="3"/>
      <c r="E7" s="3"/>
    </row>
    <row r="9" customFormat="false" ht="15" hidden="false" customHeight="false" outlineLevel="0" collapsed="false">
      <c r="B9" s="4" t="s">
        <v>3</v>
      </c>
      <c r="C9" s="5" t="s">
        <v>4</v>
      </c>
      <c r="D9" s="5" t="s">
        <v>5</v>
      </c>
      <c r="E9" s="4" t="s">
        <v>6</v>
      </c>
    </row>
    <row r="10" customFormat="false" ht="15" hidden="false" customHeight="false" outlineLevel="0" collapsed="false">
      <c r="B10" s="6" t="s">
        <v>7</v>
      </c>
      <c r="C10" s="7" t="n">
        <v>1430</v>
      </c>
      <c r="D10" s="8" t="s">
        <v>8</v>
      </c>
      <c r="E10" s="2" t="s">
        <v>9</v>
      </c>
    </row>
    <row r="11" customFormat="false" ht="15" hidden="false" customHeight="false" outlineLevel="0" collapsed="false">
      <c r="B11" s="6" t="s">
        <v>10</v>
      </c>
      <c r="C11" s="9" t="n">
        <v>9</v>
      </c>
      <c r="D11" s="8" t="s">
        <v>11</v>
      </c>
      <c r="E11" s="2" t="s">
        <v>12</v>
      </c>
    </row>
    <row r="12" customFormat="false" ht="15" hidden="false" customHeight="false" outlineLevel="0" collapsed="false">
      <c r="B12" s="6" t="s">
        <v>13</v>
      </c>
      <c r="C12" s="10" t="n">
        <v>0.17</v>
      </c>
      <c r="D12" s="8" t="s">
        <v>14</v>
      </c>
      <c r="E12" s="2" t="s">
        <v>15</v>
      </c>
    </row>
    <row r="13" customFormat="false" ht="15" hidden="false" customHeight="false" outlineLevel="0" collapsed="false">
      <c r="B13" s="6" t="s">
        <v>16</v>
      </c>
      <c r="C13" s="11" t="n">
        <v>4500</v>
      </c>
      <c r="D13" s="8" t="s">
        <v>17</v>
      </c>
      <c r="E13" s="2" t="s">
        <v>18</v>
      </c>
    </row>
    <row r="14" customFormat="false" ht="15" hidden="false" customHeight="false" outlineLevel="0" collapsed="false">
      <c r="B14" s="6" t="s">
        <v>19</v>
      </c>
      <c r="C14" s="12" t="n">
        <v>550</v>
      </c>
      <c r="D14" s="8" t="s">
        <v>20</v>
      </c>
      <c r="E14" s="2" t="s">
        <v>21</v>
      </c>
    </row>
    <row r="15" customFormat="false" ht="15" hidden="false" customHeight="false" outlineLevel="0" collapsed="false">
      <c r="B15" s="6" t="s">
        <v>22</v>
      </c>
      <c r="C15" s="12" t="n">
        <v>200</v>
      </c>
      <c r="D15" s="8" t="s">
        <v>20</v>
      </c>
      <c r="E15" s="2" t="s">
        <v>21</v>
      </c>
    </row>
    <row r="16" customFormat="false" ht="15" hidden="false" customHeight="false" outlineLevel="0" collapsed="false">
      <c r="B16" s="6" t="s">
        <v>23</v>
      </c>
      <c r="C16" s="12" t="n">
        <v>1100</v>
      </c>
      <c r="D16" s="8" t="s">
        <v>20</v>
      </c>
      <c r="E16" s="2" t="s">
        <v>21</v>
      </c>
    </row>
    <row r="17" customFormat="false" ht="15" hidden="false" customHeight="false" outlineLevel="0" collapsed="false">
      <c r="B17" s="6" t="s">
        <v>24</v>
      </c>
      <c r="C17" s="12" t="n">
        <v>1500</v>
      </c>
      <c r="D17" s="8" t="s">
        <v>25</v>
      </c>
      <c r="E17" s="2" t="s">
        <v>26</v>
      </c>
    </row>
    <row r="18" customFormat="false" ht="15" hidden="false" customHeight="false" outlineLevel="0" collapsed="false">
      <c r="B18" s="6" t="s">
        <v>27</v>
      </c>
      <c r="C18" s="12" t="n">
        <v>1200</v>
      </c>
      <c r="D18" s="8" t="s">
        <v>28</v>
      </c>
      <c r="E18" s="2" t="s">
        <v>29</v>
      </c>
    </row>
    <row r="19" customFormat="false" ht="15" hidden="false" customHeight="false" outlineLevel="0" collapsed="false">
      <c r="B19" s="6" t="s">
        <v>30</v>
      </c>
      <c r="C19" s="10" t="n">
        <v>0.065</v>
      </c>
      <c r="D19" s="8" t="s">
        <v>14</v>
      </c>
      <c r="E19" s="2" t="s">
        <v>31</v>
      </c>
    </row>
    <row r="20" customFormat="false" ht="15" hidden="false" customHeight="false" outlineLevel="0" collapsed="false">
      <c r="B20" s="6" t="s">
        <v>32</v>
      </c>
      <c r="C20" s="10" t="n">
        <v>0</v>
      </c>
      <c r="D20" s="8" t="s">
        <v>14</v>
      </c>
      <c r="E20" s="2" t="s">
        <v>33</v>
      </c>
    </row>
    <row r="21" customFormat="false" ht="15" hidden="false" customHeight="false" outlineLevel="0" collapsed="false">
      <c r="B21" s="6" t="s">
        <v>34</v>
      </c>
      <c r="C21" s="11" t="n">
        <v>22000</v>
      </c>
      <c r="D21" s="8" t="s">
        <v>20</v>
      </c>
      <c r="E21" s="2" t="s">
        <v>35</v>
      </c>
    </row>
    <row r="22" customFormat="false" ht="15" hidden="false" customHeight="false" outlineLevel="0" collapsed="false">
      <c r="B22" s="6" t="s">
        <v>36</v>
      </c>
      <c r="C22" s="11" t="n">
        <v>48000</v>
      </c>
      <c r="D22" s="8" t="s">
        <v>28</v>
      </c>
      <c r="E22" s="2" t="s">
        <v>37</v>
      </c>
    </row>
    <row r="23" customFormat="false" ht="15" hidden="false" customHeight="false" outlineLevel="0" collapsed="false">
      <c r="B23" s="6" t="s">
        <v>38</v>
      </c>
      <c r="C23" s="12" t="n">
        <v>35000</v>
      </c>
      <c r="D23" s="8" t="s">
        <v>39</v>
      </c>
      <c r="E23" s="2" t="s">
        <v>40</v>
      </c>
    </row>
    <row r="24" customFormat="false" ht="15" hidden="false" customHeight="false" outlineLevel="0" collapsed="false">
      <c r="B24" s="6" t="s">
        <v>41</v>
      </c>
      <c r="C24" s="12" t="n">
        <v>12000</v>
      </c>
      <c r="D24" s="8" t="s">
        <v>39</v>
      </c>
      <c r="E24" s="2" t="s">
        <v>42</v>
      </c>
    </row>
    <row r="25" customFormat="false" ht="15" hidden="false" customHeight="false" outlineLevel="0" collapsed="false">
      <c r="B25" s="6" t="s">
        <v>43</v>
      </c>
      <c r="C25" s="12" t="n">
        <v>25000</v>
      </c>
      <c r="D25" s="8" t="s">
        <v>39</v>
      </c>
      <c r="E25" s="2" t="s">
        <v>21</v>
      </c>
    </row>
    <row r="26" customFormat="false" ht="15" hidden="false" customHeight="false" outlineLevel="0" collapsed="false">
      <c r="B26" s="6" t="s">
        <v>44</v>
      </c>
      <c r="C26" s="12" t="n">
        <v>150000</v>
      </c>
      <c r="D26" s="8" t="s">
        <v>45</v>
      </c>
      <c r="E26" s="2" t="s">
        <v>46</v>
      </c>
    </row>
  </sheetData>
  <mergeCells count="1">
    <mergeCell ref="B5:E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6"/>
  </cols>
  <sheetData>
    <row r="2" customFormat="false" ht="18.55" hidden="false" customHeight="false" outlineLevel="0" collapsed="false">
      <c r="B2" s="1" t="s">
        <v>47</v>
      </c>
    </row>
    <row r="3" customFormat="false" ht="15" hidden="false" customHeight="false" outlineLevel="0" collapsed="false">
      <c r="B3" s="2" t="s">
        <v>48</v>
      </c>
    </row>
    <row r="5" customFormat="false" ht="15" hidden="false" customHeight="false" outlineLevel="0" collapsed="false">
      <c r="B5" s="13" t="s">
        <v>49</v>
      </c>
      <c r="C5" s="13"/>
    </row>
    <row r="6" customFormat="false" ht="15" hidden="false" customHeight="false" outlineLevel="0" collapsed="false">
      <c r="B6" s="14" t="s">
        <v>50</v>
      </c>
      <c r="C6" s="15" t="n">
        <f aca="false">Supuestos!$C$21</f>
        <v>22000</v>
      </c>
    </row>
    <row r="7" customFormat="false" ht="15" hidden="false" customHeight="false" outlineLevel="0" collapsed="false">
      <c r="B7" s="14" t="s">
        <v>51</v>
      </c>
      <c r="C7" s="16" t="n">
        <f aca="false">0.25/(1-Supuestos!$C$12)</f>
        <v>0.301204819277108</v>
      </c>
    </row>
    <row r="8" customFormat="false" ht="15" hidden="false" customHeight="false" outlineLevel="0" collapsed="false">
      <c r="B8" s="14" t="s">
        <v>52</v>
      </c>
      <c r="C8" s="15" t="n">
        <f aca="false">C7*Supuestos!$C$10*Supuestos!$C$11</f>
        <v>3876.50602409639</v>
      </c>
    </row>
    <row r="9" customFormat="false" ht="15" hidden="false" customHeight="false" outlineLevel="0" collapsed="false">
      <c r="B9" s="14" t="s">
        <v>53</v>
      </c>
      <c r="C9" s="15" t="n">
        <f aca="false">0.25*Supuestos!$C$13</f>
        <v>1125</v>
      </c>
    </row>
    <row r="10" customFormat="false" ht="15" hidden="false" customHeight="false" outlineLevel="0" collapsed="false">
      <c r="B10" s="14" t="s">
        <v>54</v>
      </c>
      <c r="C10" s="15" t="n">
        <f aca="false">Supuestos!$C$14+Supuestos!$C$15</f>
        <v>750</v>
      </c>
    </row>
    <row r="11" customFormat="false" ht="15" hidden="false" customHeight="false" outlineLevel="0" collapsed="false">
      <c r="B11" s="14" t="s">
        <v>55</v>
      </c>
      <c r="C11" s="15" t="n">
        <f aca="false">Supuestos!$C$17</f>
        <v>1500</v>
      </c>
    </row>
    <row r="12" customFormat="false" ht="15" hidden="false" customHeight="false" outlineLevel="0" collapsed="false">
      <c r="B12" s="14" t="s">
        <v>56</v>
      </c>
      <c r="C12" s="15" t="n">
        <f aca="false">C6*Supuestos!$C$19</f>
        <v>1430</v>
      </c>
    </row>
    <row r="13" customFormat="false" ht="15" hidden="false" customHeight="false" outlineLevel="0" collapsed="false">
      <c r="B13" s="17" t="s">
        <v>57</v>
      </c>
      <c r="C13" s="18" t="n">
        <f aca="false">SUM(C8:C12)</f>
        <v>8681.50602409639</v>
      </c>
    </row>
    <row r="14" customFormat="false" ht="15" hidden="false" customHeight="false" outlineLevel="0" collapsed="false">
      <c r="B14" s="17" t="s">
        <v>58</v>
      </c>
      <c r="C14" s="18" t="n">
        <f aca="false">C6-C13</f>
        <v>13318.4939759036</v>
      </c>
    </row>
    <row r="15" customFormat="false" ht="15" hidden="false" customHeight="false" outlineLevel="0" collapsed="false">
      <c r="B15" s="17" t="s">
        <v>59</v>
      </c>
      <c r="C15" s="19" t="n">
        <f aca="false">C14/C6</f>
        <v>0.605386089813801</v>
      </c>
    </row>
    <row r="17" customFormat="false" ht="15" hidden="false" customHeight="false" outlineLevel="0" collapsed="false">
      <c r="B17" s="13" t="s">
        <v>60</v>
      </c>
      <c r="C17" s="13"/>
    </row>
    <row r="18" customFormat="false" ht="15" hidden="false" customHeight="false" outlineLevel="0" collapsed="false">
      <c r="B18" s="14" t="s">
        <v>61</v>
      </c>
      <c r="C18" s="15" t="n">
        <f aca="false">Supuestos!$C$22</f>
        <v>48000</v>
      </c>
    </row>
    <row r="19" customFormat="false" ht="15" hidden="false" customHeight="false" outlineLevel="0" collapsed="false">
      <c r="B19" s="14" t="s">
        <v>51</v>
      </c>
      <c r="C19" s="16" t="n">
        <f aca="false">1/(1-Supuestos!$C$12)</f>
        <v>1.20481927710843</v>
      </c>
    </row>
    <row r="20" customFormat="false" ht="15" hidden="false" customHeight="false" outlineLevel="0" collapsed="false">
      <c r="B20" s="14" t="s">
        <v>52</v>
      </c>
      <c r="C20" s="15" t="n">
        <f aca="false">C19*Supuestos!$C$10*Supuestos!$C$11</f>
        <v>15506.0240963855</v>
      </c>
    </row>
    <row r="21" customFormat="false" ht="15" hidden="false" customHeight="false" outlineLevel="0" collapsed="false">
      <c r="B21" s="14" t="s">
        <v>53</v>
      </c>
      <c r="C21" s="15" t="n">
        <f aca="false">1*Supuestos!$C$13</f>
        <v>4500</v>
      </c>
    </row>
    <row r="22" customFormat="false" ht="15" hidden="false" customHeight="false" outlineLevel="0" collapsed="false">
      <c r="B22" s="14" t="s">
        <v>62</v>
      </c>
      <c r="C22" s="15" t="n">
        <f aca="false">Supuestos!$C$16</f>
        <v>1100</v>
      </c>
    </row>
    <row r="23" customFormat="false" ht="15" hidden="false" customHeight="false" outlineLevel="0" collapsed="false">
      <c r="B23" s="14" t="s">
        <v>27</v>
      </c>
      <c r="C23" s="15" t="n">
        <f aca="false">Supuestos!$C$18</f>
        <v>1200</v>
      </c>
    </row>
    <row r="24" customFormat="false" ht="15" hidden="false" customHeight="false" outlineLevel="0" collapsed="false">
      <c r="B24" s="14" t="s">
        <v>63</v>
      </c>
      <c r="C24" s="15" t="n">
        <f aca="false">C18*Supuestos!$C$20</f>
        <v>0</v>
      </c>
    </row>
    <row r="25" customFormat="false" ht="15" hidden="false" customHeight="false" outlineLevel="0" collapsed="false">
      <c r="B25" s="17" t="s">
        <v>57</v>
      </c>
      <c r="C25" s="18" t="n">
        <f aca="false">SUM(C20:C24)</f>
        <v>22306.0240963855</v>
      </c>
    </row>
    <row r="26" customFormat="false" ht="15" hidden="false" customHeight="false" outlineLevel="0" collapsed="false">
      <c r="B26" s="17" t="s">
        <v>58</v>
      </c>
      <c r="C26" s="18" t="n">
        <f aca="false">C18-C25</f>
        <v>25693.9759036145</v>
      </c>
    </row>
    <row r="27" customFormat="false" ht="15" hidden="false" customHeight="false" outlineLevel="0" collapsed="false">
      <c r="B27" s="17" t="s">
        <v>59</v>
      </c>
      <c r="C27" s="19" t="n">
        <f aca="false">C26/C18</f>
        <v>0.535291164658635</v>
      </c>
    </row>
  </sheetData>
  <mergeCells count="2">
    <mergeCell ref="B5:C5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9" min="3" style="0" width="13"/>
  </cols>
  <sheetData>
    <row r="2" customFormat="false" ht="18.55" hidden="false" customHeight="false" outlineLevel="0" collapsed="false">
      <c r="B2" s="1" t="s">
        <v>64</v>
      </c>
    </row>
    <row r="3" customFormat="false" ht="15" hidden="false" customHeight="false" outlineLevel="0" collapsed="false">
      <c r="B3" s="2" t="s">
        <v>65</v>
      </c>
    </row>
    <row r="5" customFormat="false" ht="15" hidden="false" customHeight="false" outlineLevel="0" collapsed="false">
      <c r="B5" s="20" t="s">
        <v>66</v>
      </c>
      <c r="C5" s="5" t="s">
        <v>46</v>
      </c>
      <c r="D5" s="5" t="s">
        <v>67</v>
      </c>
      <c r="E5" s="5" t="s">
        <v>68</v>
      </c>
      <c r="F5" s="5" t="s">
        <v>69</v>
      </c>
      <c r="G5" s="5" t="s">
        <v>70</v>
      </c>
      <c r="H5" s="5" t="s">
        <v>71</v>
      </c>
      <c r="I5" s="5" t="s">
        <v>72</v>
      </c>
    </row>
    <row r="6" customFormat="false" ht="15" hidden="false" customHeight="false" outlineLevel="0" collapsed="false">
      <c r="B6" s="21" t="s">
        <v>73</v>
      </c>
      <c r="C6" s="22" t="n">
        <v>10</v>
      </c>
      <c r="D6" s="22" t="n">
        <v>30</v>
      </c>
      <c r="E6" s="22" t="n">
        <v>50</v>
      </c>
      <c r="F6" s="22" t="n">
        <v>70</v>
      </c>
      <c r="G6" s="22" t="n">
        <v>90</v>
      </c>
      <c r="H6" s="22" t="n">
        <v>110</v>
      </c>
      <c r="I6" s="23" t="n">
        <f aca="false">SUM(C6:H6)</f>
        <v>360</v>
      </c>
    </row>
    <row r="7" customFormat="false" ht="15" hidden="false" customHeight="false" outlineLevel="0" collapsed="false">
      <c r="B7" s="21" t="s">
        <v>74</v>
      </c>
      <c r="C7" s="22" t="n">
        <v>0</v>
      </c>
      <c r="D7" s="22" t="n">
        <v>5</v>
      </c>
      <c r="E7" s="22" t="n">
        <v>10</v>
      </c>
      <c r="F7" s="22" t="n">
        <v>15</v>
      </c>
      <c r="G7" s="22" t="n">
        <v>20</v>
      </c>
      <c r="H7" s="22" t="n">
        <v>25</v>
      </c>
      <c r="I7" s="23" t="n">
        <f aca="false">SUM(C7:H7)</f>
        <v>75</v>
      </c>
    </row>
    <row r="9" customFormat="false" ht="15" hidden="false" customHeight="false" outlineLevel="0" collapsed="false">
      <c r="B9" s="24" t="s">
        <v>75</v>
      </c>
      <c r="C9" s="25"/>
      <c r="D9" s="25"/>
      <c r="E9" s="25"/>
      <c r="F9" s="25"/>
      <c r="G9" s="25"/>
      <c r="H9" s="25"/>
      <c r="I9" s="25"/>
    </row>
    <row r="10" customFormat="false" ht="15" hidden="false" customHeight="false" outlineLevel="0" collapsed="false">
      <c r="B10" s="26" t="s">
        <v>76</v>
      </c>
      <c r="C10" s="15" t="n">
        <f aca="false">C6*Supuestos!$C$21</f>
        <v>220000</v>
      </c>
      <c r="D10" s="15" t="n">
        <f aca="false">D6*Supuestos!$C$21</f>
        <v>660000</v>
      </c>
      <c r="E10" s="15" t="n">
        <f aca="false">E6*Supuestos!$C$21</f>
        <v>1100000</v>
      </c>
      <c r="F10" s="15" t="n">
        <f aca="false">F6*Supuestos!$C$21</f>
        <v>1540000</v>
      </c>
      <c r="G10" s="15" t="n">
        <f aca="false">G6*Supuestos!$C$21</f>
        <v>1980000</v>
      </c>
      <c r="H10" s="15" t="n">
        <f aca="false">H6*Supuestos!$C$21</f>
        <v>2420000</v>
      </c>
      <c r="I10" s="27" t="n">
        <f aca="false">SUM(C10:H10)</f>
        <v>7920000</v>
      </c>
    </row>
    <row r="11" customFormat="false" ht="15" hidden="false" customHeight="false" outlineLevel="0" collapsed="false">
      <c r="B11" s="26" t="s">
        <v>77</v>
      </c>
      <c r="C11" s="15" t="n">
        <f aca="false">C7*Supuestos!$C$22</f>
        <v>0</v>
      </c>
      <c r="D11" s="15" t="n">
        <f aca="false">D7*Supuestos!$C$22</f>
        <v>240000</v>
      </c>
      <c r="E11" s="15" t="n">
        <f aca="false">E7*Supuestos!$C$22</f>
        <v>480000</v>
      </c>
      <c r="F11" s="15" t="n">
        <f aca="false">F7*Supuestos!$C$22</f>
        <v>720000</v>
      </c>
      <c r="G11" s="15" t="n">
        <f aca="false">G7*Supuestos!$C$22</f>
        <v>960000</v>
      </c>
      <c r="H11" s="15" t="n">
        <f aca="false">H7*Supuestos!$C$22</f>
        <v>1200000</v>
      </c>
      <c r="I11" s="27" t="n">
        <f aca="false">SUM(C11:H11)</f>
        <v>3600000</v>
      </c>
    </row>
    <row r="12" customFormat="false" ht="15" hidden="false" customHeight="false" outlineLevel="0" collapsed="false">
      <c r="B12" s="28" t="s">
        <v>78</v>
      </c>
      <c r="C12" s="27" t="n">
        <f aca="false">C10+C11</f>
        <v>220000</v>
      </c>
      <c r="D12" s="27" t="n">
        <f aca="false">D10+D11</f>
        <v>900000</v>
      </c>
      <c r="E12" s="27" t="n">
        <f aca="false">E10+E11</f>
        <v>1580000</v>
      </c>
      <c r="F12" s="27" t="n">
        <f aca="false">F10+F11</f>
        <v>2260000</v>
      </c>
      <c r="G12" s="27" t="n">
        <f aca="false">G10+G11</f>
        <v>2940000</v>
      </c>
      <c r="H12" s="27" t="n">
        <f aca="false">H10+H11</f>
        <v>3620000</v>
      </c>
      <c r="I12" s="27" t="n">
        <f aca="false">SUM(C12:H12)</f>
        <v>11520000</v>
      </c>
    </row>
    <row r="14" customFormat="false" ht="15" hidden="false" customHeight="false" outlineLevel="0" collapsed="false">
      <c r="B14" s="24" t="s">
        <v>79</v>
      </c>
      <c r="C14" s="25"/>
      <c r="D14" s="25"/>
      <c r="E14" s="25"/>
      <c r="F14" s="25"/>
      <c r="G14" s="25"/>
      <c r="H14" s="25"/>
      <c r="I14" s="25"/>
    </row>
    <row r="15" customFormat="false" ht="15" hidden="false" customHeight="false" outlineLevel="0" collapsed="false">
      <c r="B15" s="26" t="s">
        <v>80</v>
      </c>
      <c r="C15" s="15" t="n">
        <f aca="false">C6*'Unit Economics'!$C$13</f>
        <v>86815.0602409639</v>
      </c>
      <c r="D15" s="15" t="n">
        <f aca="false">D6*'Unit Economics'!$C$13</f>
        <v>260445.180722892</v>
      </c>
      <c r="E15" s="15" t="n">
        <f aca="false">E6*'Unit Economics'!$C$13</f>
        <v>434075.301204819</v>
      </c>
      <c r="F15" s="15" t="n">
        <f aca="false">F6*'Unit Economics'!$C$13</f>
        <v>607705.421686747</v>
      </c>
      <c r="G15" s="15" t="n">
        <f aca="false">G6*'Unit Economics'!$C$13</f>
        <v>781335.542168675</v>
      </c>
      <c r="H15" s="15" t="n">
        <f aca="false">H6*'Unit Economics'!$C$13</f>
        <v>954965.662650603</v>
      </c>
      <c r="I15" s="27" t="n">
        <f aca="false">SUM(C15:H15)</f>
        <v>3125342.1686747</v>
      </c>
    </row>
    <row r="16" customFormat="false" ht="15" hidden="false" customHeight="false" outlineLevel="0" collapsed="false">
      <c r="B16" s="26" t="s">
        <v>81</v>
      </c>
      <c r="C16" s="15" t="n">
        <f aca="false">C7*'Unit Economics'!$C$25</f>
        <v>0</v>
      </c>
      <c r="D16" s="15" t="n">
        <f aca="false">D7*'Unit Economics'!$C$25</f>
        <v>111530.120481928</v>
      </c>
      <c r="E16" s="15" t="n">
        <f aca="false">E7*'Unit Economics'!$C$25</f>
        <v>223060.240963855</v>
      </c>
      <c r="F16" s="15" t="n">
        <f aca="false">F7*'Unit Economics'!$C$25</f>
        <v>334590.361445783</v>
      </c>
      <c r="G16" s="15" t="n">
        <f aca="false">G7*'Unit Economics'!$C$25</f>
        <v>446120.481927711</v>
      </c>
      <c r="H16" s="15" t="n">
        <f aca="false">H7*'Unit Economics'!$C$25</f>
        <v>557650.602409639</v>
      </c>
      <c r="I16" s="27" t="n">
        <f aca="false">SUM(C16:H16)</f>
        <v>1672951.80722892</v>
      </c>
    </row>
    <row r="17" customFormat="false" ht="15" hidden="false" customHeight="false" outlineLevel="0" collapsed="false">
      <c r="B17" s="28" t="s">
        <v>57</v>
      </c>
      <c r="C17" s="27" t="n">
        <f aca="false">C15+C16</f>
        <v>86815.0602409639</v>
      </c>
      <c r="D17" s="27" t="n">
        <f aca="false">D15+D16</f>
        <v>371975.301204819</v>
      </c>
      <c r="E17" s="27" t="n">
        <f aca="false">E15+E16</f>
        <v>657135.542168675</v>
      </c>
      <c r="F17" s="27" t="n">
        <f aca="false">F15+F16</f>
        <v>942295.78313253</v>
      </c>
      <c r="G17" s="27" t="n">
        <f aca="false">G15+G16</f>
        <v>1227456.02409639</v>
      </c>
      <c r="H17" s="27" t="n">
        <f aca="false">H15+H16</f>
        <v>1512616.26506024</v>
      </c>
      <c r="I17" s="27" t="n">
        <f aca="false">SUM(C17:H17)</f>
        <v>4798293.97590361</v>
      </c>
    </row>
    <row r="18" customFormat="false" ht="15" hidden="false" customHeight="false" outlineLevel="0" collapsed="false">
      <c r="B18" s="28" t="s">
        <v>82</v>
      </c>
      <c r="C18" s="27" t="n">
        <f aca="false">C12-C17</f>
        <v>133184.939759036</v>
      </c>
      <c r="D18" s="27" t="n">
        <f aca="false">D12-D17</f>
        <v>528024.698795181</v>
      </c>
      <c r="E18" s="27" t="n">
        <f aca="false">E12-E17</f>
        <v>922864.457831325</v>
      </c>
      <c r="F18" s="27" t="n">
        <f aca="false">F12-F17</f>
        <v>1317704.21686747</v>
      </c>
      <c r="G18" s="27" t="n">
        <f aca="false">G12-G17</f>
        <v>1712543.97590361</v>
      </c>
      <c r="H18" s="27" t="n">
        <f aca="false">H12-H17</f>
        <v>2107383.73493976</v>
      </c>
      <c r="I18" s="27" t="n">
        <f aca="false">SUM(C18:H18)</f>
        <v>6721706.02409639</v>
      </c>
    </row>
    <row r="19" customFormat="false" ht="15" hidden="false" customHeight="false" outlineLevel="0" collapsed="false">
      <c r="B19" s="26" t="s">
        <v>59</v>
      </c>
      <c r="C19" s="29" t="n">
        <f aca="false">IF(C12=0,0,C18/C12)</f>
        <v>0.605386089813801</v>
      </c>
      <c r="D19" s="29" t="n">
        <f aca="false">IF(D12=0,0,D18/D12)</f>
        <v>0.586694109772423</v>
      </c>
      <c r="E19" s="29" t="n">
        <f aca="false">IF(E12=0,0,E18/E12)</f>
        <v>0.584091429007168</v>
      </c>
      <c r="F19" s="29" t="n">
        <f aca="false">IF(F12=0,0,F18/F12)</f>
        <v>0.583054963215695</v>
      </c>
      <c r="G19" s="29" t="n">
        <f aca="false">IF(G12=0,0,G18/G12)</f>
        <v>0.582497950987624</v>
      </c>
      <c r="H19" s="29" t="n">
        <f aca="false">IF(H12=0,0,H18/H12)</f>
        <v>0.582150203022033</v>
      </c>
      <c r="I19" s="30" t="n">
        <f aca="false">IF(I17=0,0,I18/I17)</f>
        <v>1.40085331533497</v>
      </c>
    </row>
    <row r="21" customFormat="false" ht="15" hidden="false" customHeight="false" outlineLevel="0" collapsed="false">
      <c r="B21" s="24" t="s">
        <v>83</v>
      </c>
      <c r="C21" s="25"/>
      <c r="D21" s="25"/>
      <c r="E21" s="25"/>
      <c r="F21" s="25"/>
      <c r="G21" s="25"/>
      <c r="H21" s="25"/>
      <c r="I21" s="25"/>
    </row>
    <row r="22" customFormat="false" ht="15" hidden="false" customHeight="false" outlineLevel="0" collapsed="false">
      <c r="B22" s="26" t="s">
        <v>38</v>
      </c>
      <c r="C22" s="15" t="n">
        <f aca="false">Supuestos!$C$23</f>
        <v>35000</v>
      </c>
      <c r="D22" s="15" t="n">
        <f aca="false">Supuestos!$C$23</f>
        <v>35000</v>
      </c>
      <c r="E22" s="15" t="n">
        <f aca="false">Supuestos!$C$23</f>
        <v>35000</v>
      </c>
      <c r="F22" s="15" t="n">
        <f aca="false">Supuestos!$C$23</f>
        <v>35000</v>
      </c>
      <c r="G22" s="15" t="n">
        <f aca="false">Supuestos!$C$23</f>
        <v>35000</v>
      </c>
      <c r="H22" s="15" t="n">
        <f aca="false">Supuestos!$C$23</f>
        <v>35000</v>
      </c>
      <c r="I22" s="27" t="n">
        <f aca="false">SUM(C22:H22)</f>
        <v>210000</v>
      </c>
    </row>
    <row r="23" customFormat="false" ht="15" hidden="false" customHeight="false" outlineLevel="0" collapsed="false">
      <c r="B23" s="26" t="s">
        <v>84</v>
      </c>
      <c r="C23" s="15" t="n">
        <f aca="false">Supuestos!$C$24</f>
        <v>12000</v>
      </c>
      <c r="D23" s="15" t="n">
        <f aca="false">Supuestos!$C$24</f>
        <v>12000</v>
      </c>
      <c r="E23" s="15" t="n">
        <f aca="false">Supuestos!$C$24</f>
        <v>12000</v>
      </c>
      <c r="F23" s="15" t="n">
        <f aca="false">Supuestos!$C$24</f>
        <v>12000</v>
      </c>
      <c r="G23" s="15" t="n">
        <f aca="false">Supuestos!$C$24</f>
        <v>12000</v>
      </c>
      <c r="H23" s="15" t="n">
        <f aca="false">Supuestos!$C$24</f>
        <v>12000</v>
      </c>
      <c r="I23" s="27" t="n">
        <f aca="false">SUM(C23:H23)</f>
        <v>72000</v>
      </c>
    </row>
    <row r="24" customFormat="false" ht="15" hidden="false" customHeight="false" outlineLevel="0" collapsed="false">
      <c r="B24" s="26" t="s">
        <v>43</v>
      </c>
      <c r="C24" s="15" t="n">
        <f aca="false">Supuestos!$C$25</f>
        <v>25000</v>
      </c>
      <c r="D24" s="15" t="n">
        <f aca="false">Supuestos!$C$25</f>
        <v>25000</v>
      </c>
      <c r="E24" s="15" t="n">
        <f aca="false">Supuestos!$C$25</f>
        <v>25000</v>
      </c>
      <c r="F24" s="15" t="n">
        <f aca="false">Supuestos!$C$25</f>
        <v>25000</v>
      </c>
      <c r="G24" s="15" t="n">
        <f aca="false">Supuestos!$C$25</f>
        <v>25000</v>
      </c>
      <c r="H24" s="15" t="n">
        <f aca="false">Supuestos!$C$25</f>
        <v>25000</v>
      </c>
      <c r="I24" s="27" t="n">
        <f aca="false">SUM(C24:H24)</f>
        <v>150000</v>
      </c>
    </row>
    <row r="25" customFormat="false" ht="15" hidden="false" customHeight="false" outlineLevel="0" collapsed="false">
      <c r="B25" s="0" t="s">
        <v>85</v>
      </c>
      <c r="C25" s="15" t="n">
        <f aca="false">Supuestos!$C$26</f>
        <v>150000</v>
      </c>
      <c r="D25" s="31" t="n">
        <v>0</v>
      </c>
      <c r="E25" s="31" t="n">
        <v>0</v>
      </c>
      <c r="F25" s="31" t="n">
        <v>0</v>
      </c>
      <c r="G25" s="31" t="n">
        <v>0</v>
      </c>
      <c r="H25" s="31" t="n">
        <v>0</v>
      </c>
      <c r="I25" s="27" t="n">
        <f aca="false">SUM(C25:H25)</f>
        <v>150000</v>
      </c>
    </row>
    <row r="26" customFormat="false" ht="15" hidden="false" customHeight="false" outlineLevel="0" collapsed="false">
      <c r="B26" s="28" t="s">
        <v>86</v>
      </c>
      <c r="C26" s="27" t="n">
        <f aca="false">SUM(C22:C25)</f>
        <v>222000</v>
      </c>
      <c r="D26" s="27" t="n">
        <f aca="false">SUM(D22:D25)</f>
        <v>72000</v>
      </c>
      <c r="E26" s="27" t="n">
        <f aca="false">SUM(E22:E25)</f>
        <v>72000</v>
      </c>
      <c r="F26" s="27" t="n">
        <f aca="false">SUM(F22:F25)</f>
        <v>72000</v>
      </c>
      <c r="G26" s="27" t="n">
        <f aca="false">SUM(G22:G25)</f>
        <v>72000</v>
      </c>
      <c r="H26" s="27" t="n">
        <f aca="false">SUM(H22:H25)</f>
        <v>72000</v>
      </c>
      <c r="I26" s="27" t="n">
        <f aca="false">SUM(C26:H26)</f>
        <v>582000</v>
      </c>
    </row>
    <row r="28" customFormat="false" ht="15" hidden="false" customHeight="false" outlineLevel="0" collapsed="false">
      <c r="B28" s="24" t="s">
        <v>87</v>
      </c>
      <c r="C28" s="18" t="n">
        <f aca="false">C18-C26</f>
        <v>-88815.0602409639</v>
      </c>
      <c r="D28" s="18" t="n">
        <f aca="false">D18-D26</f>
        <v>456024.698795181</v>
      </c>
      <c r="E28" s="18" t="n">
        <f aca="false">E18-E26</f>
        <v>850864.457831325</v>
      </c>
      <c r="F28" s="18" t="n">
        <f aca="false">F18-F26</f>
        <v>1245704.21686747</v>
      </c>
      <c r="G28" s="18" t="n">
        <f aca="false">G18-G26</f>
        <v>1640543.97590361</v>
      </c>
      <c r="H28" s="18" t="n">
        <f aca="false">H18-H26</f>
        <v>2035383.73493976</v>
      </c>
      <c r="I28" s="18" t="n">
        <f aca="false">SUM(C28:H28)</f>
        <v>6139706.02409639</v>
      </c>
    </row>
    <row r="29" customFormat="false" ht="15" hidden="false" customHeight="false" outlineLevel="0" collapsed="false">
      <c r="B29" s="28" t="s">
        <v>88</v>
      </c>
      <c r="C29" s="27" t="n">
        <f aca="false">C28</f>
        <v>-88815.0602409639</v>
      </c>
      <c r="D29" s="27" t="n">
        <f aca="false">C29+D28</f>
        <v>367209.638554217</v>
      </c>
      <c r="E29" s="27" t="n">
        <f aca="false">D29+E28</f>
        <v>1218074.09638554</v>
      </c>
      <c r="F29" s="27" t="n">
        <f aca="false">E29+F28</f>
        <v>2463778.31325301</v>
      </c>
      <c r="G29" s="27" t="n">
        <f aca="false">F29+G28</f>
        <v>4104322.28915663</v>
      </c>
      <c r="H29" s="27" t="n">
        <f aca="false">G29+H28</f>
        <v>6139706.02409639</v>
      </c>
      <c r="I29" s="27" t="n">
        <f aca="false">H29</f>
        <v>6139706.02409639</v>
      </c>
    </row>
    <row r="31" customFormat="false" ht="15" hidden="false" customHeight="true" outlineLevel="0" collapsed="false">
      <c r="B31" s="32" t="s">
        <v>89</v>
      </c>
      <c r="C31" s="32"/>
      <c r="D31" s="32"/>
      <c r="E31" s="32"/>
      <c r="F31" s="32"/>
      <c r="G31" s="32"/>
      <c r="H31" s="32"/>
      <c r="I31" s="32"/>
    </row>
    <row r="32" customFormat="false" ht="15" hidden="false" customHeight="false" outlineLevel="0" collapsed="false">
      <c r="B32" s="32"/>
      <c r="C32" s="32"/>
      <c r="D32" s="32"/>
      <c r="E32" s="32"/>
      <c r="F32" s="32"/>
      <c r="G32" s="32"/>
      <c r="H32" s="32"/>
      <c r="I32" s="32"/>
    </row>
    <row r="33" customFormat="false" ht="15" hidden="false" customHeight="false" outlineLevel="0" collapsed="false">
      <c r="B33" s="32"/>
      <c r="C33" s="32"/>
      <c r="D33" s="32"/>
      <c r="E33" s="32"/>
      <c r="F33" s="32"/>
      <c r="G33" s="32"/>
      <c r="H33" s="32"/>
      <c r="I33" s="32"/>
    </row>
  </sheetData>
  <mergeCells count="1">
    <mergeCell ref="B31:I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7" min="3" style="0" width="12"/>
  </cols>
  <sheetData>
    <row r="2" customFormat="false" ht="18.55" hidden="false" customHeight="false" outlineLevel="0" collapsed="false">
      <c r="B2" s="1" t="s">
        <v>90</v>
      </c>
    </row>
    <row r="4" customFormat="false" ht="15" hidden="false" customHeight="false" outlineLevel="0" collapsed="false">
      <c r="B4" s="33" t="s">
        <v>91</v>
      </c>
      <c r="C4" s="33"/>
      <c r="D4" s="33"/>
    </row>
    <row r="5" customFormat="false" ht="15" hidden="false" customHeight="true" outlineLevel="0" collapsed="false">
      <c r="B5" s="0" t="s">
        <v>92</v>
      </c>
      <c r="C5" s="34" t="n">
        <f aca="false">Supuestos!$C$23+Supuestos!$C$24+Supuestos!$C$25</f>
        <v>72000</v>
      </c>
      <c r="E5" s="32" t="s">
        <v>93</v>
      </c>
      <c r="F5" s="32"/>
      <c r="G5" s="32"/>
      <c r="H5" s="32"/>
    </row>
    <row r="6" customFormat="false" ht="15" hidden="false" customHeight="false" outlineLevel="0" collapsed="false">
      <c r="B6" s="0" t="s">
        <v>94</v>
      </c>
      <c r="C6" s="34" t="n">
        <f aca="false">'Unit Economics'!$C$14</f>
        <v>13318.4939759036</v>
      </c>
      <c r="E6" s="32"/>
      <c r="F6" s="32"/>
      <c r="G6" s="32"/>
      <c r="H6" s="32"/>
    </row>
    <row r="7" customFormat="false" ht="15" hidden="false" customHeight="false" outlineLevel="0" collapsed="false">
      <c r="B7" s="0" t="s">
        <v>95</v>
      </c>
      <c r="C7" s="35" t="n">
        <f aca="false">C5/C6</f>
        <v>5.40601663598493</v>
      </c>
      <c r="E7" s="32"/>
      <c r="F7" s="32"/>
      <c r="G7" s="32"/>
      <c r="H7" s="32"/>
    </row>
    <row r="8" customFormat="false" ht="15" hidden="false" customHeight="false" outlineLevel="0" collapsed="false">
      <c r="E8" s="32"/>
      <c r="F8" s="32"/>
      <c r="G8" s="32"/>
      <c r="H8" s="32"/>
    </row>
    <row r="9" customFormat="false" ht="15" hidden="false" customHeight="false" outlineLevel="0" collapsed="false">
      <c r="E9" s="32"/>
      <c r="F9" s="32"/>
      <c r="G9" s="32"/>
      <c r="H9" s="32"/>
    </row>
    <row r="10" customFormat="false" ht="15" hidden="false" customHeight="false" outlineLevel="0" collapsed="false">
      <c r="B10" s="33" t="s">
        <v>96</v>
      </c>
      <c r="C10" s="33"/>
      <c r="D10" s="33"/>
      <c r="E10" s="33"/>
      <c r="F10" s="33"/>
      <c r="G10" s="33"/>
      <c r="H10" s="33"/>
    </row>
    <row r="11" customFormat="false" ht="15" hidden="false" customHeight="false" outlineLevel="0" collapsed="false">
      <c r="B11" s="36" t="s">
        <v>97</v>
      </c>
      <c r="C11" s="37" t="n">
        <v>18000</v>
      </c>
      <c r="D11" s="37" t="n">
        <v>20000</v>
      </c>
      <c r="E11" s="37" t="n">
        <v>22000</v>
      </c>
      <c r="F11" s="37" t="n">
        <v>24000</v>
      </c>
      <c r="G11" s="37" t="n">
        <v>26000</v>
      </c>
    </row>
    <row r="12" customFormat="false" ht="15" hidden="false" customHeight="false" outlineLevel="0" collapsed="false">
      <c r="B12" s="38" t="n">
        <v>6</v>
      </c>
      <c r="C12" s="39" t="n">
        <f aca="false">(C$11-((0.25/(1-Supuestos!$C$12))*Supuestos!$C$10*$B12+0.25*Supuestos!$C$13+Supuestos!$C$14+Supuestos!$C$15+Supuestos!$C$17+C$11*Supuestos!$C$19))/C$11</f>
        <v>0.603925702811245</v>
      </c>
      <c r="D12" s="39" t="n">
        <f aca="false">(D$11-((0.25/(1-Supuestos!$C$12))*Supuestos!$C$10*$B12+0.25*Supuestos!$C$13+Supuestos!$C$14+Supuestos!$C$15+Supuestos!$C$17+D$11*Supuestos!$C$19))/D$11</f>
        <v>0.637033132530121</v>
      </c>
      <c r="E12" s="39" t="n">
        <f aca="false">(E$11-((0.25/(1-Supuestos!$C$12))*Supuestos!$C$10*$B12+0.25*Supuestos!$C$13+Supuestos!$C$14+Supuestos!$C$15+Supuestos!$C$17+E$11*Supuestos!$C$19))/E$11</f>
        <v>0.664121029572837</v>
      </c>
      <c r="F12" s="39" t="n">
        <f aca="false">(F$11-((0.25/(1-Supuestos!$C$12))*Supuestos!$C$10*$B12+0.25*Supuestos!$C$13+Supuestos!$C$14+Supuestos!$C$15+Supuestos!$C$17+F$11*Supuestos!$C$19))/F$11</f>
        <v>0.686694277108434</v>
      </c>
      <c r="G12" s="39" t="n">
        <f aca="false">(G$11-((0.25/(1-Supuestos!$C$12))*Supuestos!$C$10*$B12+0.25*Supuestos!$C$13+Supuestos!$C$14+Supuestos!$C$15+Supuestos!$C$17+G$11*Supuestos!$C$19))/G$11</f>
        <v>0.705794717330862</v>
      </c>
    </row>
    <row r="13" customFormat="false" ht="15" hidden="false" customHeight="false" outlineLevel="0" collapsed="false">
      <c r="B13" s="38" t="n">
        <v>8</v>
      </c>
      <c r="C13" s="39" t="n">
        <f aca="false">(C$11-((0.25/(1-Supuestos!$C$12))*Supuestos!$C$10*$B13+0.25*Supuestos!$C$13+Supuestos!$C$14+Supuestos!$C$15+Supuestos!$C$17+C$11*Supuestos!$C$19))/C$11</f>
        <v>0.556067603748327</v>
      </c>
      <c r="D13" s="39" t="n">
        <f aca="false">(D$11-((0.25/(1-Supuestos!$C$12))*Supuestos!$C$10*$B13+0.25*Supuestos!$C$13+Supuestos!$C$14+Supuestos!$C$15+Supuestos!$C$17+D$11*Supuestos!$C$19))/D$11</f>
        <v>0.593960843373494</v>
      </c>
      <c r="E13" s="39" t="n">
        <f aca="false">(E$11-((0.25/(1-Supuestos!$C$12))*Supuestos!$C$10*$B13+0.25*Supuestos!$C$13+Supuestos!$C$14+Supuestos!$C$15+Supuestos!$C$17+E$11*Supuestos!$C$19))/E$11</f>
        <v>0.624964403066813</v>
      </c>
      <c r="F13" s="39" t="n">
        <f aca="false">(F$11-((0.25/(1-Supuestos!$C$12))*Supuestos!$C$10*$B13+0.25*Supuestos!$C$13+Supuestos!$C$14+Supuestos!$C$15+Supuestos!$C$17+F$11*Supuestos!$C$19))/F$11</f>
        <v>0.650800702811245</v>
      </c>
      <c r="G13" s="39" t="n">
        <f aca="false">(G$11-((0.25/(1-Supuestos!$C$12))*Supuestos!$C$10*$B13+0.25*Supuestos!$C$13+Supuestos!$C$14+Supuestos!$C$15+Supuestos!$C$17+G$11*Supuestos!$C$19))/G$11</f>
        <v>0.67266218721038</v>
      </c>
    </row>
    <row r="14" customFormat="false" ht="15" hidden="false" customHeight="false" outlineLevel="0" collapsed="false">
      <c r="B14" s="38" t="n">
        <v>9</v>
      </c>
      <c r="C14" s="39" t="n">
        <f aca="false">(C$11-((0.25/(1-Supuestos!$C$12))*Supuestos!$C$10*$B14+0.25*Supuestos!$C$13+Supuestos!$C$14+Supuestos!$C$15+Supuestos!$C$17+C$11*Supuestos!$C$19))/C$11</f>
        <v>0.532138554216867</v>
      </c>
      <c r="D14" s="39" t="n">
        <f aca="false">(D$11-((0.25/(1-Supuestos!$C$12))*Supuestos!$C$10*$B14+0.25*Supuestos!$C$13+Supuestos!$C$14+Supuestos!$C$15+Supuestos!$C$17+D$11*Supuestos!$C$19))/D$11</f>
        <v>0.572424698795181</v>
      </c>
      <c r="E14" s="39" t="n">
        <f aca="false">(E$11-((0.25/(1-Supuestos!$C$12))*Supuestos!$C$10*$B14+0.25*Supuestos!$C$13+Supuestos!$C$14+Supuestos!$C$15+Supuestos!$C$17+E$11*Supuestos!$C$19))/E$11</f>
        <v>0.605386089813801</v>
      </c>
      <c r="F14" s="39" t="n">
        <f aca="false">(F$11-((0.25/(1-Supuestos!$C$12))*Supuestos!$C$10*$B14+0.25*Supuestos!$C$13+Supuestos!$C$14+Supuestos!$C$15+Supuestos!$C$17+F$11*Supuestos!$C$19))/F$11</f>
        <v>0.632853915662651</v>
      </c>
      <c r="G14" s="39" t="n">
        <f aca="false">(G$11-((0.25/(1-Supuestos!$C$12))*Supuestos!$C$10*$B14+0.25*Supuestos!$C$13+Supuestos!$C$14+Supuestos!$C$15+Supuestos!$C$17+G$11*Supuestos!$C$19))/G$11</f>
        <v>0.656095922150139</v>
      </c>
    </row>
    <row r="15" customFormat="false" ht="15" hidden="false" customHeight="false" outlineLevel="0" collapsed="false">
      <c r="B15" s="38" t="n">
        <v>10</v>
      </c>
      <c r="C15" s="39" t="n">
        <f aca="false">(C$11-((0.25/(1-Supuestos!$C$12))*Supuestos!$C$10*$B15+0.25*Supuestos!$C$13+Supuestos!$C$14+Supuestos!$C$15+Supuestos!$C$17+C$11*Supuestos!$C$19))/C$11</f>
        <v>0.508209504685408</v>
      </c>
      <c r="D15" s="39" t="n">
        <f aca="false">(D$11-((0.25/(1-Supuestos!$C$12))*Supuestos!$C$10*$B15+0.25*Supuestos!$C$13+Supuestos!$C$14+Supuestos!$C$15+Supuestos!$C$17+D$11*Supuestos!$C$19))/D$11</f>
        <v>0.550888554216867</v>
      </c>
      <c r="E15" s="39" t="n">
        <f aca="false">(E$11-((0.25/(1-Supuestos!$C$12))*Supuestos!$C$10*$B15+0.25*Supuestos!$C$13+Supuestos!$C$14+Supuestos!$C$15+Supuestos!$C$17+E$11*Supuestos!$C$19))/E$11</f>
        <v>0.585807776560789</v>
      </c>
      <c r="F15" s="39" t="n">
        <f aca="false">(F$11-((0.25/(1-Supuestos!$C$12))*Supuestos!$C$10*$B15+0.25*Supuestos!$C$13+Supuestos!$C$14+Supuestos!$C$15+Supuestos!$C$17+F$11*Supuestos!$C$19))/F$11</f>
        <v>0.614907128514056</v>
      </c>
      <c r="G15" s="39" t="n">
        <f aca="false">(G$11-((0.25/(1-Supuestos!$C$12))*Supuestos!$C$10*$B15+0.25*Supuestos!$C$13+Supuestos!$C$14+Supuestos!$C$15+Supuestos!$C$17+G$11*Supuestos!$C$19))/G$11</f>
        <v>0.639529657089898</v>
      </c>
    </row>
    <row r="16" customFormat="false" ht="15" hidden="false" customHeight="false" outlineLevel="0" collapsed="false">
      <c r="B16" s="38" t="n">
        <v>12</v>
      </c>
      <c r="C16" s="39" t="n">
        <f aca="false">(C$11-((0.25/(1-Supuestos!$C$12))*Supuestos!$C$10*$B16+0.25*Supuestos!$C$13+Supuestos!$C$14+Supuestos!$C$15+Supuestos!$C$17+C$11*Supuestos!$C$19))/C$11</f>
        <v>0.46035140562249</v>
      </c>
      <c r="D16" s="39" t="n">
        <f aca="false">(D$11-((0.25/(1-Supuestos!$C$12))*Supuestos!$C$10*$B16+0.25*Supuestos!$C$13+Supuestos!$C$14+Supuestos!$C$15+Supuestos!$C$17+D$11*Supuestos!$C$19))/D$11</f>
        <v>0.507816265060241</v>
      </c>
      <c r="E16" s="39" t="n">
        <f aca="false">(E$11-((0.25/(1-Supuestos!$C$12))*Supuestos!$C$10*$B16+0.25*Supuestos!$C$13+Supuestos!$C$14+Supuestos!$C$15+Supuestos!$C$17+E$11*Supuestos!$C$19))/E$11</f>
        <v>0.546651150054765</v>
      </c>
      <c r="F16" s="39" t="n">
        <f aca="false">(F$11-((0.25/(1-Supuestos!$C$12))*Supuestos!$C$10*$B16+0.25*Supuestos!$C$13+Supuestos!$C$14+Supuestos!$C$15+Supuestos!$C$17+F$11*Supuestos!$C$19))/F$11</f>
        <v>0.579013554216868</v>
      </c>
      <c r="G16" s="39" t="n">
        <f aca="false">(G$11-((0.25/(1-Supuestos!$C$12))*Supuestos!$C$10*$B16+0.25*Supuestos!$C$13+Supuestos!$C$14+Supuestos!$C$15+Supuestos!$C$17+G$11*Supuestos!$C$19))/G$11</f>
        <v>0.606397126969416</v>
      </c>
    </row>
    <row r="17" customFormat="false" ht="15" hidden="false" customHeight="false" outlineLevel="0" collapsed="false">
      <c r="B17" s="38" t="n">
        <v>14</v>
      </c>
      <c r="C17" s="39" t="n">
        <f aca="false">(C$11-((0.25/(1-Supuestos!$C$12))*Supuestos!$C$10*$B17+0.25*Supuestos!$C$13+Supuestos!$C$14+Supuestos!$C$15+Supuestos!$C$17+C$11*Supuestos!$C$19))/C$11</f>
        <v>0.412493306559572</v>
      </c>
      <c r="D17" s="39" t="n">
        <f aca="false">(D$11-((0.25/(1-Supuestos!$C$12))*Supuestos!$C$10*$B17+0.25*Supuestos!$C$13+Supuestos!$C$14+Supuestos!$C$15+Supuestos!$C$17+D$11*Supuestos!$C$19))/D$11</f>
        <v>0.464743975903614</v>
      </c>
      <c r="E17" s="39" t="n">
        <f aca="false">(E$11-((0.25/(1-Supuestos!$C$12))*Supuestos!$C$10*$B17+0.25*Supuestos!$C$13+Supuestos!$C$14+Supuestos!$C$15+Supuestos!$C$17+E$11*Supuestos!$C$19))/E$11</f>
        <v>0.50749452354874</v>
      </c>
      <c r="F17" s="39" t="n">
        <f aca="false">(F$11-((0.25/(1-Supuestos!$C$12))*Supuestos!$C$10*$B17+0.25*Supuestos!$C$13+Supuestos!$C$14+Supuestos!$C$15+Supuestos!$C$17+F$11*Supuestos!$C$19))/F$11</f>
        <v>0.543119979919679</v>
      </c>
      <c r="G17" s="39" t="n">
        <f aca="false">(G$11-((0.25/(1-Supuestos!$C$12))*Supuestos!$C$10*$B17+0.25*Supuestos!$C$13+Supuestos!$C$14+Supuestos!$C$15+Supuestos!$C$17+G$11*Supuestos!$C$19))/G$11</f>
        <v>0.573264596848934</v>
      </c>
    </row>
    <row r="19" customFormat="false" ht="15" hidden="false" customHeight="true" outlineLevel="0" collapsed="false">
      <c r="B19" s="32" t="s">
        <v>98</v>
      </c>
      <c r="C19" s="32"/>
      <c r="D19" s="32"/>
      <c r="E19" s="32"/>
      <c r="F19" s="32"/>
      <c r="G19" s="32"/>
      <c r="H19" s="32"/>
    </row>
    <row r="20" customFormat="false" ht="15" hidden="false" customHeight="false" outlineLevel="0" collapsed="false">
      <c r="B20" s="32"/>
      <c r="C20" s="32"/>
      <c r="D20" s="32"/>
      <c r="E20" s="32"/>
      <c r="F20" s="32"/>
      <c r="G20" s="32"/>
      <c r="H20" s="32"/>
    </row>
  </sheetData>
  <mergeCells count="4">
    <mergeCell ref="B4:D4"/>
    <mergeCell ref="E5:H9"/>
    <mergeCell ref="B10:H10"/>
    <mergeCell ref="B19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2026-06-02T02:15:45Z</dcterms:created>
  <dc:creator>openpyxl</dc:creator>
  <dc:description/>
  <dc:language>en-US</dc:language>
  <cp:lastModifiedBy/>
  <dcterms:modified xsi:type="dcterms:W3CDTF">2026-06-02T02:15:45Z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